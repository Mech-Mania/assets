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<sst xmlns="http://schemas.openxmlformats.org/spreadsheetml/2006/main" count="17" uniqueCount="17">
  <si>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Parts Type:</t>
  </si>
  <si>
    <t>Quanitiy per school</t>
  </si>
  <si>
    <t>Total Quanitity</t>
  </si>
  <si>
    <t>2 hole plate</t>
  </si>
  <si>
    <t>Teams:</t>
  </si>
  <si>
    <t>4 hold plate</t>
  </si>
  <si>
    <t>4 hole beam</t>
  </si>
  <si>
    <t>6 hole beam</t>
  </si>
  <si>
    <t>Should include more of either 6 or 8 since they are the standard</t>
  </si>
  <si>
    <t>8 hole beam</t>
  </si>
  <si>
    <t>maybe both?</t>
  </si>
  <si>
    <t>10 hole beam</t>
  </si>
  <si>
    <t>90 degree bracket</t>
  </si>
  <si>
    <t>45 degree bracket</t>
  </si>
  <si>
    <t>Adapter (Hole to Diamond)</t>
  </si>
  <si>
    <t>Diamond Insert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</si>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</sst>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FF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3.0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>
        <v>12.0</v>
      </c>
      <c r="C2" s="3">
        <f>B2*F2</f>
        <v>228</v>
      </c>
      <c r="E2" s="2" t="s">
        <v>4</v>
      </c>
      <c r="F2" s="2">
        <v>19.0</v>
      </c>
    </row>
    <row r="3">
      <c r="A3" s="2" t="s">
        <v>5</v>
      </c>
      <c r="B3" s="2">
        <v>8.0</v>
      </c>
      <c r="C3" s="3">
        <f>B3*F2</f>
        <v>152</v>
      </c>
    </row>
    <row r="4">
      <c r="A4" s="2" t="s">
        <v>6</v>
      </c>
      <c r="B4" s="2">
        <v>4.0</v>
      </c>
      <c r="C4" s="3">
        <f>B4*F2</f>
        <v>76</v>
      </c>
    </row>
    <row r="5">
      <c r="A5" s="2" t="s">
        <v>7</v>
      </c>
      <c r="B5" s="2">
        <v>4.0</v>
      </c>
      <c r="C5" s="3">
        <f>B5*F2</f>
        <v>76</v>
      </c>
      <c r="D5" s="2" t="s">
        <v>8</v>
      </c>
    </row>
    <row r="6">
      <c r="A6" s="2" t="s">
        <v>9</v>
      </c>
      <c r="B6" s="2">
        <v>4.0</v>
      </c>
      <c r="C6" s="3">
        <f>B6*F2</f>
        <v>76</v>
      </c>
      <c r="D6" s="2" t="s">
        <v>10</v>
      </c>
    </row>
    <row r="7">
      <c r="A7" s="2" t="s">
        <v>11</v>
      </c>
      <c r="B7" s="2">
        <v>4.0</v>
      </c>
      <c r="C7" s="3">
        <f>B7*F2</f>
        <v>76</v>
      </c>
    </row>
    <row r="8">
      <c r="A8" s="2" t="s">
        <v>12</v>
      </c>
      <c r="B8" s="2">
        <v>4.0</v>
      </c>
      <c r="C8" s="3">
        <f>B8*F2</f>
        <v>76</v>
      </c>
    </row>
    <row r="9">
      <c r="A9" s="2" t="s">
        <v>13</v>
      </c>
      <c r="B9" s="2">
        <v>4.0</v>
      </c>
      <c r="C9" s="3">
        <f>B9*F2</f>
        <v>76</v>
      </c>
    </row>
    <row r="10">
      <c r="A10" s="2" t="s">
        <v>14</v>
      </c>
      <c r="B10" s="2">
        <v>8.0</v>
      </c>
      <c r="C10" s="3">
        <f>B10*F2</f>
        <v>152</v>
      </c>
    </row>
    <row r="11">
      <c r="A11" s="2" t="s">
        <v>15</v>
      </c>
      <c r="B11" s="2">
        <v>20.0</v>
      </c>
      <c r="C11" s="3">
        <f>B11*20</f>
        <v>400</v>
      </c>
    </row>
    <row r="12">
      <c r="B12" s="2" t="s">
        <v>16</v>
      </c>
      <c r="C12" s="3">
        <f>SUM(C2:C11)</f>
        <v>1388</v>
      </c>
    </row>
  </sheetData>
  <drawing r:id="rId1"/>
</worksheet>
</file>